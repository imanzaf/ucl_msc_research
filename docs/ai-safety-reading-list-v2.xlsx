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man/ilm/ucl/ucl_msc_research/docs/"/>
    </mc:Choice>
  </mc:AlternateContent>
  <xr:revisionPtr revIDLastSave="0" documentId="13_ncr:1_{B1DFA349-AC11-464C-BE52-B64EB441779F}" xr6:coauthVersionLast="47" xr6:coauthVersionMax="47" xr10:uidLastSave="{00000000-0000-0000-0000-000000000000}"/>
  <bookViews>
    <workbookView xWindow="14180" yWindow="2320" windowWidth="19220" windowHeight="21000" xr2:uid="{98472D9F-512A-8E46-8C93-D5547DD845E0}"/>
  </bookViews>
  <sheets>
    <sheet name="Relevant" sheetId="1" r:id="rId1"/>
    <sheet name="Benchmarks &amp; Models" sheetId="3" r:id="rId2"/>
    <sheet name="Low Relevanc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3" i="3" l="1"/>
  <c r="A22" i="3"/>
  <c r="A30" i="1"/>
  <c r="A21" i="3"/>
  <c r="A29" i="1"/>
  <c r="A20" i="3"/>
  <c r="A28" i="1"/>
  <c r="A19" i="3"/>
  <c r="A27" i="1"/>
  <c r="A18" i="3"/>
  <c r="A26" i="1"/>
  <c r="A17" i="3"/>
  <c r="A17" i="2"/>
  <c r="A16" i="3"/>
  <c r="A25" i="1"/>
  <c r="A16" i="2"/>
  <c r="A15" i="2"/>
  <c r="A13" i="2"/>
  <c r="A14" i="2"/>
  <c r="A15" i="3"/>
  <c r="A24" i="1"/>
  <c r="A14" i="3"/>
  <c r="A13" i="3"/>
  <c r="A11" i="3"/>
  <c r="A12" i="3"/>
  <c r="A23" i="1"/>
  <c r="A22" i="1"/>
  <c r="A21" i="1"/>
  <c r="A20" i="1"/>
  <c r="A10" i="3"/>
  <c r="A9" i="3"/>
  <c r="A8" i="3"/>
  <c r="A7" i="3"/>
  <c r="A6" i="3"/>
  <c r="A19" i="1"/>
  <c r="A5" i="3"/>
  <c r="A18" i="1"/>
  <c r="A12" i="2"/>
  <c r="A4" i="3"/>
  <c r="A3" i="3"/>
  <c r="A11" i="2"/>
  <c r="A10" i="2"/>
  <c r="A9" i="2"/>
  <c r="A8" i="2"/>
  <c r="A7" i="2"/>
  <c r="A17" i="1"/>
  <c r="A16" i="1"/>
  <c r="A2" i="3"/>
  <c r="A6" i="2"/>
  <c r="A5" i="2"/>
  <c r="A15" i="1"/>
  <c r="A14" i="1"/>
  <c r="A13" i="1"/>
  <c r="A4" i="2"/>
  <c r="A12" i="1"/>
  <c r="A9" i="1"/>
  <c r="A10" i="1"/>
  <c r="A11" i="1"/>
  <c r="A3" i="1"/>
  <c r="A4" i="1"/>
  <c r="A5" i="1"/>
  <c r="A6" i="1"/>
  <c r="A7" i="1"/>
  <c r="A8" i="1"/>
  <c r="A3" i="2"/>
  <c r="A2" i="2"/>
  <c r="A2" i="1"/>
</calcChain>
</file>

<file path=xl/sharedStrings.xml><?xml version="1.0" encoding="utf-8"?>
<sst xmlns="http://schemas.openxmlformats.org/spreadsheetml/2006/main" count="289" uniqueCount="225">
  <si>
    <t>#</t>
  </si>
  <si>
    <t>Paper Title</t>
  </si>
  <si>
    <t>Year</t>
  </si>
  <si>
    <t>Link</t>
  </si>
  <si>
    <t>Relevance / Comments</t>
  </si>
  <si>
    <t>Among Us: A Sandbox for Agentic Deception</t>
  </si>
  <si>
    <t>2025</t>
  </si>
  <si>
    <t>arXiv:2504.04072</t>
  </si>
  <si>
    <t>Builds sandbox for long-term open-ended deception based on multi-agent setup and Among Us game objectives. Find that probes trained on a dataset of 'pretend you're a dishonest model' generalise well out of distribution</t>
  </si>
  <si>
    <t>Methodology / Key Findings</t>
  </si>
  <si>
    <t>Good example of set up for long-running scenarios.</t>
  </si>
  <si>
    <t>Detecting Strategic Deception with Linear Probes</t>
  </si>
  <si>
    <t>arXiv:2502.03407</t>
  </si>
  <si>
    <t>Use linear probes to detect deception in exisying benchmarks.</t>
  </si>
  <si>
    <t>Potential methodology motivation. Finds deception in Llama-3.3-70B-Instruct, good case for using this as one of the models</t>
  </si>
  <si>
    <t>Linear Probes for Strategic Deception Generalize Across Three LLM Families in Multi-Agent Negotiation</t>
  </si>
  <si>
    <t>2026</t>
  </si>
  <si>
    <t>OpenReview</t>
  </si>
  <si>
    <t>Looks at transferability of probe-based detector across model families. Uses multi-agent set up and three scenario families. Limitations state that paired-activation analysis was not conducted, which is suggested by Anthropic</t>
  </si>
  <si>
    <t>two-agent setup is interesting. Transferability across families would be interesting to apply.</t>
  </si>
  <si>
    <t>Building Better Deception Probes Using Targeted Instruction Pairs</t>
  </si>
  <si>
    <t>arXiv:2602.01425</t>
  </si>
  <si>
    <t>an instruction-pair probe is trained on minimal pairs of honest/deceptive system prompts over identical true content, so it learns the activation direction for intent to deceive; this paper shows the exact prompt pair dominates probe quality and argues for tailoring the pairs to specific deception types via a taxonomy.</t>
  </si>
  <si>
    <t>argument for testing transferability of probes across the two types of deception. Or for requiring different probes at different levels of falsifiability.</t>
  </si>
  <si>
    <t>Deceptive instructions induce significant representational shifts compared to Truthful/Neutral representations (which are similar), concentrated in early-to-mid layers and detectable even on complex datasets.</t>
  </si>
  <si>
    <t>Might be argument for using early layers for detection probes? But test whether internal represntations shift based on a model's understanding of the task even if the instruction remains neutral.</t>
  </si>
  <si>
    <t>When Truthful Representations Flip Under Deceptive Instructions?</t>
  </si>
  <si>
    <t>arXiv:2507.22149</t>
  </si>
  <si>
    <t>Persona Vectors: Monitoring and Controlling Character Traits in Language Models</t>
  </si>
  <si>
    <t>arXiv:2507.21509</t>
  </si>
  <si>
    <t>DECOR: Auditing LLM Deception via Information Manipulation Theory</t>
  </si>
  <si>
    <t>arXiv:2605.19270</t>
  </si>
  <si>
    <t>decomposes input contexts into atomic informational units and scores each unit against the response across four dimensions of manipulation, producing interpretable manipulation profiles that are aggregated into a global deception index</t>
  </si>
  <si>
    <t>Probing the Limits of the Lie Detector Approach to LLM Deception</t>
  </si>
  <si>
    <t>arXiv:2603.10003</t>
  </si>
  <si>
    <t xml:space="preserve">shows that some models reliably deceive by producing misleading non-falsities, particularly when guided by few-shot prompting. It is further demonstrated that truth probes trained on standard true-false datasets are significantly better at detecting lies than at detecting deception without lying, confirming a critical blind spot of current mechanistic deception detection approaches. </t>
  </si>
  <si>
    <t>Case for using any of these models: Mistral-7B-Instruct-v0.3, Gemma-2-9b-IT, and Llama-3.1-8B-Instruct.
Very artificial setting, good to build on.
Case for probing second-order beliefs (user side for dialogical sequences)</t>
  </si>
  <si>
    <t>GPT / Claude notes to reflect on</t>
  </si>
  <si>
    <t>this is a strong white-box-pessimism data point (truth probes miss omission), which sharpens the motivation for comparing against black-box detection rather than assuming probes generalise. It pairs naturally with the Sims multi-agent paper (where probes did hit AUC 0.93 on the Information Withholding scenario) — the tension between the two is worth a paragraph, since the difference likely comes down to ground-truth construction and whether the probe was trained on omission examples or just true/false statements.</t>
  </si>
  <si>
    <t>Large Language Models Can Strategically Deceive Their Users When Put Under Pressure</t>
  </si>
  <si>
    <t>2023/2024</t>
  </si>
  <si>
    <t>arXiv:2311.07590</t>
  </si>
  <si>
    <t>Early paper showing mis-aligned behaviour in financial context. Focus on hiding info from user.</t>
  </si>
  <si>
    <t>the pressure is framed as saving the company and not disappointing the manager (user-pleasing?)</t>
  </si>
  <si>
    <t>Establish that financial LLM agents can deceive without instruction, but their reliance on an authored interaction history and a deception that is conditional on a prior self-committed transgression limits it to concealment-of-wrongdoing, motivating  on-policy elicitation of strategic omission under goal conflict where the omission itself is the deceptive act.</t>
  </si>
  <si>
    <t>Auditing Language Models for Hidden Objectives</t>
  </si>
  <si>
    <t>arXiv:2503.10965</t>
  </si>
  <si>
    <t>Argument for alignment audits. Not closely relevant to my paper</t>
  </si>
  <si>
    <t>Frontier Models Are Capable of In-Context Scheming</t>
  </si>
  <si>
    <t>2024</t>
  </si>
  <si>
    <t>arXiv:2412.04984</t>
  </si>
  <si>
    <t>measure capability: given a goal supplied in-context and (mostly) an instruction to pursue it strongly, placed in an environment that incentivises covert behaviour, will the model recognise scheming as a viable strategy and do it.</t>
  </si>
  <si>
    <t>bulk of their results rely on strong goal-nudging ("achieve this at all costs") and behavioural/CoT detection, motivating a focus on strategic omission under low-nudge goal conflict and  comparison against white-box detection that does not depend on the model verbalising its intent.</t>
  </si>
  <si>
    <t>Alignment Faking in Large Language Models</t>
  </si>
  <si>
    <t>arXiv:2412.14093</t>
  </si>
  <si>
    <t>How to Catch an AI Liar: Lie Detection in Black-Box LLMs by Asking Unrelated Questions</t>
  </si>
  <si>
    <t>arXiv:2309.15840</t>
  </si>
  <si>
    <t>interesting methodology for black box deception, can be built on</t>
  </si>
  <si>
    <t>asks pre-defined set of unrelated questions after a lie and expected that a lying model will answer differently to an honest one</t>
  </si>
  <si>
    <t>Sleeper Agents: Training Deceptive LLMs that Persist Through Safety Training</t>
  </si>
  <si>
    <t>arXiv:2401.05566</t>
  </si>
  <si>
    <t>Agentic Misalignment: How LLMs Could Be Insider Threats</t>
  </si>
  <si>
    <t>arXiv:2510.05179</t>
  </si>
  <si>
    <t xml:space="preserve">find that models act against companies when facing replacement or achieving their goals. Models given harmless goals but still mesbehave </t>
  </si>
  <si>
    <t>(motivates my study on narrowing down on more subtle forms of deception in low nudge scenarios)</t>
  </si>
  <si>
    <t>The test-vs-real awareness finding is directly relevant to your elicitation validity. If models behave differently when they suspect evaluation, your on-policy elicitation needs to contend with eval-awareness contamination — this paper is the citation for why that's a live threat to construct validity, and worth a sentence in your limitations or design-justification.</t>
  </si>
  <si>
    <t>From surveillance to signalling: escalation channels as environmental controls for agentic AI</t>
  </si>
  <si>
    <t>arXiv:2510.05192</t>
  </si>
  <si>
    <t>provide models with escalation paths that would support them in goal achievement, find this reduced harmful actions</t>
  </si>
  <si>
    <t>good option for minimal mitigation testing</t>
  </si>
  <si>
    <t>From Helpfulness to Toxic Proactivity: Diagnosing Behavioral Misalignment in LLM Agents</t>
  </si>
  <si>
    <t>arXiv:2602.04197</t>
  </si>
  <si>
    <t>expose a failure mode they call "Toxic Proactivity" — where an agent, over-optimising for helpfulness ("Machiavellian helpfulness"), disregards ethical constraints and takes excessive or manipulative actions to stay useful.</t>
  </si>
  <si>
    <t>different failure mode, targets manipulative action-taking (in the end they are all similar but names differently, this one has an example where model pushes a new drug to help the pharma company its sponsored by), not directly relevant, good for adding to literature review</t>
  </si>
  <si>
    <t>CTRL-ALT-DECEIT: Benchmarking LLM-Controlled Agents for Sabotage in Autonomous AI Research</t>
  </si>
  <si>
    <t>arXiv:2511.09904</t>
  </si>
  <si>
    <t>coding related benchmark</t>
  </si>
  <si>
    <t>AI Sandbagging: Language Models Can Strategically Underperform on Evaluations</t>
  </si>
  <si>
    <t>arXiv:2406.07358</t>
  </si>
  <si>
    <t>eval related</t>
  </si>
  <si>
    <t>Relevance</t>
  </si>
  <si>
    <t>Relevant Scenarios</t>
  </si>
  <si>
    <t>DeceptionBench: A Comprehensive Benchmark for AI Deception Behaviors in Real-world Scenarios</t>
  </si>
  <si>
    <t>arXiv:2510.15501</t>
  </si>
  <si>
    <t>Economy domain has finance-based scenarios. Measure model self-interest, sycophancy. Across neutral, reward-based, and coercive pressures</t>
  </si>
  <si>
    <t>Beyond Prompt-Induced Lies: Investigating LLM Deception on Benign Prompts</t>
  </si>
  <si>
    <t>arXiv:2508.06361</t>
  </si>
  <si>
    <t>use a zero-nudge scenario to measure self-initiated deception, based on a graph-connectivity reasoning task with adjusted difficulty. The deception signal comes from comparing the model's initial yes/no answer against its answers to related connectivity sub-questions — inconsistency that resolves in a particular direction indicates a hidden bias rather than honest error.</t>
  </si>
  <si>
    <t>"inconsistency resolved in a particular direction" means this: the deception signal isn't just any disagreement between initial and follow-up answers — it's specifically the model demonstrating, via correct follow-up answers, that it possessed the information needed to answer the initial question correctly, yet gave a wrong initial answer. And the directional part is the ρ metric: the wrong initial answers are biased toward one response (e.g. systematically saying "Yes"/"in contact" when the truth is "No"), rather than being randomly distributed. Random errors would scatter; a hidden objective produces a consistent lean. That directional bias, combined with "but it knew the right answer all along" (correct follow-ups), is what they're calling intention.</t>
  </si>
  <si>
    <t xml:space="preserve"> motivation for low / zero-nudge benchmark. No Ground truth framework is interesting, would need to think how to measure deception in zero-nudge.
Weird methodology as the deception increasing with task difficulty could be an artefact of reasoning difficulty not strategic deception.</t>
  </si>
  <si>
    <t>AI Deception: A Survey of Examples, Risks, and Potential Solutions</t>
  </si>
  <si>
    <t>Patterns / arXiv</t>
  </si>
  <si>
    <t>broad survey</t>
  </si>
  <si>
    <t>Secret Collusion among Generative AI Agents</t>
  </si>
  <si>
    <t>arXiv:2402.07510</t>
  </si>
  <si>
    <t>relevant if looking at multi agent collusion + steganography</t>
  </si>
  <si>
    <t>Deceptive Automated Interpretability: Language Models Coordinating to Fool Oversight Systems</t>
  </si>
  <si>
    <t>arXiv:2504.07831</t>
  </si>
  <si>
    <t>also steganography related</t>
  </si>
  <si>
    <t>Detecting Multi-Agent Collusion Through Multi-Agent Interpretability</t>
  </si>
  <si>
    <t>arXiv:2604.01151</t>
  </si>
  <si>
    <t>collusion related</t>
  </si>
  <si>
    <t>AMONGAGENTS: Evaluating Large Language Models in the Interactive Text-Based Social Deduction Game</t>
  </si>
  <si>
    <t>arXiv:2407.16521</t>
  </si>
  <si>
    <t>basis for among us sandbox. Useful if wanting to replicate a game-based environment</t>
  </si>
  <si>
    <t>AgentHarm: A Benchmark for Measuring Harmfulness of LLM Agents</t>
  </si>
  <si>
    <t>2024/2025</t>
  </si>
  <si>
    <t>arXiv:2410.09024</t>
  </si>
  <si>
    <t>related to measuring user-side attacks</t>
  </si>
  <si>
    <t>Agent-SafetyBench: Evaluating the Safety of LLM Agents</t>
  </si>
  <si>
    <t>arXiv:2412.14470</t>
  </si>
  <si>
    <t>Find lack of risk-awareness as a fundamental defect in LLM agents. Has scenarios where the agent fails to surface a risk because it didn't recognise or track it (not because it's concealing it)</t>
  </si>
  <si>
    <t>ToolEmu: Identifying the Risks of LM Agents with an LM-Emulated Sandbox</t>
  </si>
  <si>
    <t>2023</t>
  </si>
  <si>
    <t>arXiv:2309.15817</t>
  </si>
  <si>
    <t>based on outcome-based risks, not strategic. Tool Emulator doesn't require actually building tools, could be useful application for tool-usage based scenarios</t>
  </si>
  <si>
    <t>AgentDojo: A Dynamic Environment to Evaluate Prompt Injection Attacks and Defenses for LLM Agents</t>
  </si>
  <si>
    <t>arXiv:2406.13352</t>
  </si>
  <si>
    <t>prompt injection attacks</t>
  </si>
  <si>
    <t>International AI Safety Report 2026</t>
  </si>
  <si>
    <t>Report</t>
  </si>
  <si>
    <t>Useful for literature review</t>
  </si>
  <si>
    <t>FinVault: Benchmarking Financial Agent Safety in Execution-Grounded Environments</t>
  </si>
  <si>
    <t>arXiv:2601.07853</t>
  </si>
  <si>
    <t>execution-grounded security against attacks on financial agents. The threat model is external adversary. headline metric is Attack Success Rate (ASR). Could be useful to pick up some scenarios</t>
  </si>
  <si>
    <t>Standard Benchmarks Fail: Auditing LLM Agents in Finance Must Prioritize Risk</t>
  </si>
  <si>
    <t>arXiv:2502.15865</t>
  </si>
  <si>
    <t>good for lit review. Argues financial LLM agents should be assessed based on risk profile</t>
  </si>
  <si>
    <t>Finance Agent Benchmark: Benchmarking LLMs on Real-World Financial Research Tasks</t>
  </si>
  <si>
    <t>arXiv:2508.00828</t>
  </si>
  <si>
    <t>useful for picking finance task scenarios</t>
  </si>
  <si>
    <t>FinMCP-Bench: Benchmarking LLM Agents for Real-World Financial Tool Use</t>
  </si>
  <si>
    <t>arXiv:2603.24943</t>
  </si>
  <si>
    <t>FinSafetyBench: Evaluating LLM Safety in Real-World Financial Scenarios</t>
  </si>
  <si>
    <t>arXiv:2605.00706</t>
  </si>
  <si>
    <t>Uncovering Vulnerability of LLMs in Financial Domain via Risk Concealment</t>
  </si>
  <si>
    <t>arXiv:2509.10546</t>
  </si>
  <si>
    <t>useful for picking finance task scenarios. Looks at user-side risk-concealment not model-side</t>
  </si>
  <si>
    <t>Large Language Model Agents in Finance: A Survey Bridging Research, Practice, and Real-World Deployment</t>
  </si>
  <si>
    <t>ACL Anthology</t>
  </si>
  <si>
    <t>Leveraging Large Language Models in Finance: Pathways to Responsible Adoption</t>
  </si>
  <si>
    <t>ESMA / Turing / ILB</t>
  </si>
  <si>
    <t>good for lit review</t>
  </si>
  <si>
    <t>Artificial Intelligence in UK Financial Services - 2024</t>
  </si>
  <si>
    <t>BoE/FCA report</t>
  </si>
  <si>
    <t>AI and the FCA: Our Approach</t>
  </si>
  <si>
    <t>2025/2026</t>
  </si>
  <si>
    <t>FCA page</t>
  </si>
  <si>
    <t>Review into the Long-Term Impact of AI on Retail Financial Services: The Mills Review</t>
  </si>
  <si>
    <t>BloombergGPT: A Large Language Model for Finance</t>
  </si>
  <si>
    <t>arXiv:2303.17564</t>
  </si>
  <si>
    <t>FinGPT: Open-Source Financial Large Language Models</t>
  </si>
  <si>
    <t>arXiv:2306.06031</t>
  </si>
  <si>
    <t>candidate model (side test not core)</t>
  </si>
  <si>
    <t>FinBen: A Holistic Financial Benchmark for Large Language Models</t>
  </si>
  <si>
    <t>arXiv:2402.12659</t>
  </si>
  <si>
    <t>ConvFinQA: Exploring the Chain of Numerical Reasoning in Conversational Finance Question Answering</t>
  </si>
  <si>
    <t>2022</t>
  </si>
  <si>
    <t>arXiv:2210.03849</t>
  </si>
  <si>
    <t>Large Language Models in Finance: A Survey</t>
  </si>
  <si>
    <t>arXiv:2311.10723</t>
  </si>
  <si>
    <t>The New Quant: A Survey of Large Language Models in Financial Prediction and Trading</t>
  </si>
  <si>
    <t>arXiv:2510.05533</t>
  </si>
  <si>
    <t>useful for picking finance task scenarios + lit review</t>
  </si>
  <si>
    <t>Risks from Learned Optimization in Advanced Machine Learning Systems</t>
  </si>
  <si>
    <t>2019</t>
  </si>
  <si>
    <t>arXiv:1906.01820</t>
  </si>
  <si>
    <t>Eliciting Latent Knowledge</t>
  </si>
  <si>
    <t>2021/2022</t>
  </si>
  <si>
    <t>ARC report</t>
  </si>
  <si>
    <t>older paper, not really relevant, could be used for initial framing</t>
  </si>
  <si>
    <t>older paper, not relevant</t>
  </si>
  <si>
    <t>Discovering Latent Knowledge in Language Models Without Supervision</t>
  </si>
  <si>
    <t>arXiv:2212.03827</t>
  </si>
  <si>
    <t>precursor to probing work</t>
  </si>
  <si>
    <t>Inference-Time Intervention: Eliciting Truthful Answers from a Language Model</t>
  </si>
  <si>
    <t>arXiv:2306.03341</t>
  </si>
  <si>
    <t>Representation Engineering: A Top-Down Approach to AI Transparency</t>
  </si>
  <si>
    <t>arXiv:2310.01405</t>
  </si>
  <si>
    <t>method for paper 4</t>
  </si>
  <si>
    <t>TruthfulQA: Measuring How Models Mimic Human Falsehoods</t>
  </si>
  <si>
    <t>arXiv:2109.07958</t>
  </si>
  <si>
    <t>Towards Understanding Sycophancy in Language Models</t>
  </si>
  <si>
    <t>arXiv:2310.13548</t>
  </si>
  <si>
    <t>looks at sycophancy</t>
  </si>
  <si>
    <t>Establishing Best Practices in Building Rigorous Agentic Benchmarks</t>
  </si>
  <si>
    <t>arXiv:2507.02825</t>
  </si>
  <si>
    <t>baseline for establishing rigour of benchmark</t>
  </si>
  <si>
    <t>Model Organisms of Misalignment: The Case for a New Pillar of Alignment Science</t>
  </si>
  <si>
    <t>Alignment Forum</t>
  </si>
  <si>
    <t>Benchmarking Deception Probes via Black-to-White Performance Boosts</t>
  </si>
  <si>
    <t>arXiv:2507.12691</t>
  </si>
  <si>
    <t>comparison between white and back-box probes for deception, would be good to sample some methods from here.</t>
  </si>
  <si>
    <t>Liars' Bench: Evaluating Lie Detectors for Language Models</t>
  </si>
  <si>
    <t>arXiv:2511.16035</t>
  </si>
  <si>
    <t>test black box and white box methods to see if they apply to different types of lies, varied by reason for lying and what the lie is about. They find that detctors fail in settings where you cant tell the model lied from transcript alone.
still looking at blatant lies (false statements). can pick out relevant scenarios from this dataset.
case for using models MISTRAL-SMALL 24B, LLAMA-3.3 70B, QWEN-2.5 72B, and GEMMA-3 27B
good case for testing white box and black box methods for detecting selective omission and/or misleading framing.</t>
  </si>
  <si>
    <t>Detecting High-Stakes Interactions with Activation Probes</t>
  </si>
  <si>
    <t>arXiv:2506.10805</t>
  </si>
  <si>
    <t>uses activation probes to detect interactions that could cause significant harm</t>
  </si>
  <si>
    <t>good case or methodology for mitigation section?</t>
  </si>
  <si>
    <t>From Hallucination to Scheming: A Unified Taxonomy and Benchmark Analysis for LLM Deception</t>
  </si>
  <si>
    <t>arXiv:2604.04788</t>
  </si>
  <si>
    <t>identified behavioural deception (no specific goal) as low end, provides steer for zero-nudge scenarios.
Should come back to this for defining deception and deciding on scenario families. Should be used in literature to motivate type of deception and scenarios being studied.</t>
  </si>
  <si>
    <t>evaluates benchmark coverage for deception. Finds only 3 test pragmatic distortion (misleading framing). 
MUST BE CITED!!
READ PROPERLY!!</t>
  </si>
  <si>
    <t>ELEPHANT: Measuring and understanding social sycophancy in LLMs</t>
  </si>
  <si>
    <t>arXiv:2505.13995</t>
  </si>
  <si>
    <t>Measures social sycophancy</t>
  </si>
  <si>
    <t>Uncovering Deceptive Tendencies in Language Models: A Simulated Company AI Assistant</t>
  </si>
  <si>
    <t>arXiv:2405.01576</t>
  </si>
  <si>
    <t>Looks at task compliance, audit deception (lying to users about an action), pretending to be less capable than it is</t>
  </si>
  <si>
    <t>mentions deceptive behaviour when theres not notable external pressure to do so. Should look at scenrios for inspo</t>
  </si>
  <si>
    <t>it’s a detection methodology, but good basis for benchmark set up. Use atomic material-risk information units to then compare model responses against. Essentially a good scoring methodology.</t>
  </si>
  <si>
    <t>Do the Rewards Justify the Means? Measuring Trade-Offs Between Rewards and Ethical Behavior in the MACHIAVELLI Benchmark</t>
  </si>
  <si>
    <t>arXiv:2304.03279</t>
  </si>
  <si>
    <t>game-based benchmark. Looks at agent tendencies to be power-seeking, cause disutility, and commit ethical violations.</t>
  </si>
  <si>
    <t>good to cite for future work (more deception directions, especially ethical violations in finance)</t>
  </si>
  <si>
    <t>OpenDeception: Learning Deception and Trust in Human-AI Interaction via Multi-Agent Simulation</t>
  </si>
  <si>
    <t>arXiv:2504.13707</t>
  </si>
  <si>
    <t>uses unconstrained outcomes, benchmark design may be relevant. CoT based detection (black box). Deception is broadly manipulation or user persuasion (this can be one scenario family) and covers every day scenarios. User susceptibility detection is interesting.</t>
  </si>
  <si>
    <t>Janus: A Benchmark for Goal-Conditioned Information Distortion in LLMs</t>
  </si>
  <si>
    <t>arXiv:2606.10852</t>
  </si>
  <si>
    <t>SPADE-Bench: Evaluating Spontaneous Strategic Deception in Agents via Plan-Action Divergence</t>
  </si>
  <si>
    <t>arXiv:2606.02380</t>
  </si>
  <si>
    <t>not directly relevant, about audit-log deception (can be used as motivation for rigorous black box detection and white-box detection). Can use as scenario inspo</t>
  </si>
  <si>
    <t>Code and data not available yet. (13/06/2026)
Paper contribitons:
- neutral vs goal-direction condition.
- each scenario has a favourable vs adverse fact pool (annotated material facts)
- "Models are never instructed to fabricate, deceive, or explicitly omit information;"
- includes finance domain
- have a variety of metrics (selection, emphasis, ordering, specificity, framing)
- Finds some of the strongest effects occur in Finance
- says single turn is one of  the limitations, and doesnt provide mitigation or detection methods.
- Qwen models are most distorted in finance (argument for testing this model)
My potential additions:
- finance specific across blatant lies, selective omission, and misleading framing. Scenario families repeated across zero-nudge (no goal conflict), low nudge (goal conflict, no direct instrcution), and then high-nudge (direct instruction)
- detector generalisng from high-nudge blatant lies to zero-nudge misleading framing.
- which scenarios result in more naturally occuring deception
- does user persona impact deception levels (more receptive = more deception?)
- multi turn and tool using agents / RAG
- black box and white box detection (black  box with user reaction)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</si>
</sst>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2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B5A9C9-894B-AF48-8CCD-67AC0AA868D6}" name="Table1" displayName="Table1" ref="A1:G30" totalsRowShown="0" headerRowDxfId="15" dataDxfId="14">
  <autoFilter ref="A1:G30" xr:uid="{F5B5A9C9-894B-AF48-8CCD-67AC0AA868D6}"/>
  <tableColumns count="7">
    <tableColumn id="1" xr3:uid="{EE2798C0-4399-DD4F-882E-AB5B4103F73D}" name="#" dataDxfId="13">
      <calculatedColumnFormula>ROW() - 1</calculatedColumnFormula>
    </tableColumn>
    <tableColumn id="2" xr3:uid="{E737B5F7-6B14-8741-AD18-CEAECEF9CBDA}" name="Paper Title" dataDxfId="12"/>
    <tableColumn id="3" xr3:uid="{E43928D5-728D-EB4F-B746-E447447756FB}" name="Year" dataDxfId="11"/>
    <tableColumn id="4" xr3:uid="{D3B7637F-690C-214A-8170-772B74E8FE00}" name="Link" dataDxfId="10"/>
    <tableColumn id="5" xr3:uid="{F4B16C5A-9A1D-4C46-B74A-29941164203D}" name="Methodology / Key Findings" dataDxfId="9"/>
    <tableColumn id="6" xr3:uid="{0E865172-1D78-A844-826E-9616DB92B49C}" name="Relevance / Comments" dataDxfId="8"/>
    <tableColumn id="7" xr3:uid="{624CE219-52CC-A948-9500-9CB41D1B4F13}" name="GPT / Claude notes to reflect on" dataDxfId="7"/>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9BF679-C465-7E4B-A6CC-DCEC825B78C5}" name="Table3" displayName="Table3" ref="A1:E23" totalsRowShown="0" headerRowDxfId="22" dataDxfId="21">
  <autoFilter ref="A1:E23" xr:uid="{CE9BF679-C465-7E4B-A6CC-DCEC825B78C5}"/>
  <tableColumns count="5">
    <tableColumn id="1" xr3:uid="{2853CB43-66BA-824C-AFC4-89344A306151}" name="#" dataDxfId="20">
      <calculatedColumnFormula>ROW() -1</calculatedColumnFormula>
    </tableColumn>
    <tableColumn id="2" xr3:uid="{0D0BBBAE-5CC4-6B49-AA13-4922B00BB415}" name="Paper Title" dataDxfId="19"/>
    <tableColumn id="3" xr3:uid="{59AB96D7-0510-FC43-8C10-8FCB6F93DDE0}" name="Year" dataDxfId="18"/>
    <tableColumn id="4" xr3:uid="{0EBFA67C-EE59-074A-8E12-7328384EA140}" name="Link" dataDxfId="17" dataCellStyle="Hyperlink"/>
    <tableColumn id="5" xr3:uid="{E6964C53-CAB0-054D-93BA-D56FA4DFD387}" name="Relevant Scenarios"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60D33B-AA8A-724F-85AF-839E14790F09}" name="Table2" displayName="Table2" ref="A1:E17" totalsRowShown="0" headerRowDxfId="6" dataDxfId="5">
  <autoFilter ref="A1:E17" xr:uid="{3160D33B-AA8A-724F-85AF-839E14790F09}"/>
  <tableColumns count="5">
    <tableColumn id="1" xr3:uid="{7BB22C21-B6B5-B74B-93E7-34E575A53B73}" name="#" dataDxfId="4">
      <calculatedColumnFormula>ROW() - 1</calculatedColumnFormula>
    </tableColumn>
    <tableColumn id="2" xr3:uid="{446F52A3-9B33-8340-AF78-E792829329D6}" name="Paper Title" dataDxfId="3"/>
    <tableColumn id="3" xr3:uid="{0EB2DB6B-D518-714E-927D-B83D18E39172}" name="Year" dataDxfId="2"/>
    <tableColumn id="4" xr3:uid="{F81D2ABB-30EA-884E-9011-6496849A56AC}" name="Link" dataDxfId="1" dataCellStyle="Hyperlink"/>
    <tableColumn id="5" xr3:uid="{A7603877-313A-3647-9E51-72C01EC30EE4}" name="Relevanc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603.10003" TargetMode="External"/><Relationship Id="rId13" Type="http://schemas.openxmlformats.org/officeDocument/2006/relationships/hyperlink" Target="https://arxiv.org/abs/2510.05192" TargetMode="External"/><Relationship Id="rId18" Type="http://schemas.openxmlformats.org/officeDocument/2006/relationships/hyperlink" Target="https://arxiv.org/abs/2502.15865" TargetMode="External"/><Relationship Id="rId26" Type="http://schemas.openxmlformats.org/officeDocument/2006/relationships/hyperlink" Target="https://arxiv.org/abs/2506.10805" TargetMode="External"/><Relationship Id="rId3" Type="http://schemas.openxmlformats.org/officeDocument/2006/relationships/hyperlink" Target="https://openreview.net/forum?id=eW9WF3sZVR" TargetMode="External"/><Relationship Id="rId21" Type="http://schemas.openxmlformats.org/officeDocument/2006/relationships/hyperlink" Target="https://www.fca.org.uk/firms/innovation/ai-approach" TargetMode="External"/><Relationship Id="rId7" Type="http://schemas.openxmlformats.org/officeDocument/2006/relationships/hyperlink" Target="https://arxiv.org/abs/2605.19270" TargetMode="External"/><Relationship Id="rId12" Type="http://schemas.openxmlformats.org/officeDocument/2006/relationships/hyperlink" Target="https://arxiv.org/abs/2510.05179" TargetMode="External"/><Relationship Id="rId17" Type="http://schemas.openxmlformats.org/officeDocument/2006/relationships/hyperlink" Target="https://internationalaisafetyreport.org/publication/international-ai-safety-report-2026" TargetMode="External"/><Relationship Id="rId25" Type="http://schemas.openxmlformats.org/officeDocument/2006/relationships/hyperlink" Target="https://www.alignmentforum.org/posts/ChDH335ckdvpxXaXX/model-organisms-of-misalignment-the-case-for-a-new-pillar-of-1" TargetMode="External"/><Relationship Id="rId2" Type="http://schemas.openxmlformats.org/officeDocument/2006/relationships/hyperlink" Target="https://arxiv.org/abs/2502.03407" TargetMode="External"/><Relationship Id="rId16" Type="http://schemas.openxmlformats.org/officeDocument/2006/relationships/hyperlink" Target="https://arxiv.org/abs/2308.14752" TargetMode="External"/><Relationship Id="rId20" Type="http://schemas.openxmlformats.org/officeDocument/2006/relationships/hyperlink" Target="https://www.bankofengland.co.uk/report/2024/artificial-intelligence-in-uk-financial-services-2024" TargetMode="External"/><Relationship Id="rId29" Type="http://schemas.openxmlformats.org/officeDocument/2006/relationships/hyperlink" Target="https://arxiv.org/abs/2304.03279" TargetMode="External"/><Relationship Id="rId1" Type="http://schemas.openxmlformats.org/officeDocument/2006/relationships/hyperlink" Target="https://arxiv.org/abs/2504.04072" TargetMode="External"/><Relationship Id="rId6" Type="http://schemas.openxmlformats.org/officeDocument/2006/relationships/hyperlink" Target="https://arxiv.org/abs/2507.21509" TargetMode="External"/><Relationship Id="rId11" Type="http://schemas.openxmlformats.org/officeDocument/2006/relationships/hyperlink" Target="https://arxiv.org/abs/2309.15840" TargetMode="External"/><Relationship Id="rId24" Type="http://schemas.openxmlformats.org/officeDocument/2006/relationships/hyperlink" Target="https://arxiv.org/abs/2310.01405" TargetMode="External"/><Relationship Id="rId5" Type="http://schemas.openxmlformats.org/officeDocument/2006/relationships/hyperlink" Target="https://arxiv.org/abs/2507.22149" TargetMode="External"/><Relationship Id="rId15" Type="http://schemas.openxmlformats.org/officeDocument/2006/relationships/hyperlink" Target="https://arxiv.org/abs/2508.06361" TargetMode="External"/><Relationship Id="rId23" Type="http://schemas.openxmlformats.org/officeDocument/2006/relationships/hyperlink" Target="https://arxiv.org/abs/2311.10723" TargetMode="External"/><Relationship Id="rId28" Type="http://schemas.openxmlformats.org/officeDocument/2006/relationships/hyperlink" Target="https://arxiv.org/abs/2405.01576" TargetMode="External"/><Relationship Id="rId10" Type="http://schemas.openxmlformats.org/officeDocument/2006/relationships/hyperlink" Target="https://arxiv.org/abs/2412.04984" TargetMode="External"/><Relationship Id="rId19" Type="http://schemas.openxmlformats.org/officeDocument/2006/relationships/hyperlink" Target="https://www.esma.europa.eu/document/working-paper-leveraging-large-language-models-finance-pathways-responsible-adoption" TargetMode="External"/><Relationship Id="rId4" Type="http://schemas.openxmlformats.org/officeDocument/2006/relationships/hyperlink" Target="https://arxiv.org/abs/2602.01425" TargetMode="External"/><Relationship Id="rId9" Type="http://schemas.openxmlformats.org/officeDocument/2006/relationships/hyperlink" Target="https://arxiv.org/abs/2311.07590" TargetMode="External"/><Relationship Id="rId14" Type="http://schemas.openxmlformats.org/officeDocument/2006/relationships/hyperlink" Target="https://arxiv.org/abs/2602.04197" TargetMode="External"/><Relationship Id="rId22" Type="http://schemas.openxmlformats.org/officeDocument/2006/relationships/hyperlink" Target="https://www.fca.org.uk/publications/calls-input/review-long-term-impact-ai-retail-financial-services-mills-review" TargetMode="External"/><Relationship Id="rId27" Type="http://schemas.openxmlformats.org/officeDocument/2006/relationships/hyperlink" Target="https://arxiv.org/abs/2604.04788" TargetMode="External"/><Relationship Id="rId30"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arxiv.org/abs/2509.10546" TargetMode="External"/><Relationship Id="rId13" Type="http://schemas.openxmlformats.org/officeDocument/2006/relationships/hyperlink" Target="https://arxiv.org/abs/2210.03849" TargetMode="External"/><Relationship Id="rId18" Type="http://schemas.openxmlformats.org/officeDocument/2006/relationships/hyperlink" Target="https://arxiv.org/abs/2511.16035" TargetMode="External"/><Relationship Id="rId3" Type="http://schemas.openxmlformats.org/officeDocument/2006/relationships/hyperlink" Target="https://arxiv.org/abs/2309.15817" TargetMode="External"/><Relationship Id="rId21" Type="http://schemas.openxmlformats.org/officeDocument/2006/relationships/hyperlink" Target="https://arxiv.org/abs/2606.10852" TargetMode="External"/><Relationship Id="rId7" Type="http://schemas.openxmlformats.org/officeDocument/2006/relationships/hyperlink" Target="https://arxiv.org/abs/2605.00706" TargetMode="External"/><Relationship Id="rId12" Type="http://schemas.openxmlformats.org/officeDocument/2006/relationships/hyperlink" Target="https://arxiv.org/abs/2402.12659" TargetMode="External"/><Relationship Id="rId17" Type="http://schemas.openxmlformats.org/officeDocument/2006/relationships/hyperlink" Target="https://arxiv.org/abs/2507.12691" TargetMode="External"/><Relationship Id="rId2" Type="http://schemas.openxmlformats.org/officeDocument/2006/relationships/hyperlink" Target="https://arxiv.org/abs/2412.14470" TargetMode="External"/><Relationship Id="rId16" Type="http://schemas.openxmlformats.org/officeDocument/2006/relationships/hyperlink" Target="https://arxiv.org/abs/2507.02825" TargetMode="External"/><Relationship Id="rId20" Type="http://schemas.openxmlformats.org/officeDocument/2006/relationships/hyperlink" Target="https://arxiv.org/abs/2504.13707" TargetMode="External"/><Relationship Id="rId1" Type="http://schemas.openxmlformats.org/officeDocument/2006/relationships/hyperlink" Target="https://arxiv.org/abs/2510.15501" TargetMode="External"/><Relationship Id="rId6" Type="http://schemas.openxmlformats.org/officeDocument/2006/relationships/hyperlink" Target="https://arxiv.org/abs/2603.24943" TargetMode="External"/><Relationship Id="rId11" Type="http://schemas.openxmlformats.org/officeDocument/2006/relationships/hyperlink" Target="https://arxiv.org/abs/2306.06031" TargetMode="External"/><Relationship Id="rId5" Type="http://schemas.openxmlformats.org/officeDocument/2006/relationships/hyperlink" Target="https://arxiv.org/abs/2508.00828" TargetMode="External"/><Relationship Id="rId15" Type="http://schemas.openxmlformats.org/officeDocument/2006/relationships/hyperlink" Target="https://arxiv.org/abs/2109.07958" TargetMode="External"/><Relationship Id="rId23" Type="http://schemas.openxmlformats.org/officeDocument/2006/relationships/table" Target="../tables/table2.xml"/><Relationship Id="rId10" Type="http://schemas.openxmlformats.org/officeDocument/2006/relationships/hyperlink" Target="https://arxiv.org/abs/2303.17564" TargetMode="External"/><Relationship Id="rId19" Type="http://schemas.openxmlformats.org/officeDocument/2006/relationships/hyperlink" Target="https://arxiv.org/abs/2505.13995" TargetMode="External"/><Relationship Id="rId4" Type="http://schemas.openxmlformats.org/officeDocument/2006/relationships/hyperlink" Target="https://arxiv.org/abs/2601.07853" TargetMode="External"/><Relationship Id="rId9" Type="http://schemas.openxmlformats.org/officeDocument/2006/relationships/hyperlink" Target="https://aclanthology.org/2025.findings-emnlp.972/" TargetMode="External"/><Relationship Id="rId14" Type="http://schemas.openxmlformats.org/officeDocument/2006/relationships/hyperlink" Target="https://arxiv.org/abs/2510.05533" TargetMode="External"/><Relationship Id="rId22" Type="http://schemas.openxmlformats.org/officeDocument/2006/relationships/hyperlink" Target="https://arxiv.org/abs/2606.0238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rxiv.org/abs/2604.01151" TargetMode="External"/><Relationship Id="rId13" Type="http://schemas.openxmlformats.org/officeDocument/2006/relationships/hyperlink" Target="https://www.alignmentforum.org/posts/qHCDysDnvhteW7kRd/arc-s-first-technical-report-eliciting-latent-knowledge" TargetMode="External"/><Relationship Id="rId3" Type="http://schemas.openxmlformats.org/officeDocument/2006/relationships/hyperlink" Target="https://arxiv.org/abs/2401.05566" TargetMode="External"/><Relationship Id="rId7" Type="http://schemas.openxmlformats.org/officeDocument/2006/relationships/hyperlink" Target="https://arxiv.org/abs/2504.07831" TargetMode="External"/><Relationship Id="rId12" Type="http://schemas.openxmlformats.org/officeDocument/2006/relationships/hyperlink" Target="https://arxiv.org/abs/1906.01820" TargetMode="External"/><Relationship Id="rId17" Type="http://schemas.openxmlformats.org/officeDocument/2006/relationships/table" Target="../tables/table3.xml"/><Relationship Id="rId2" Type="http://schemas.openxmlformats.org/officeDocument/2006/relationships/hyperlink" Target="https://arxiv.org/abs/2412.14093" TargetMode="External"/><Relationship Id="rId16" Type="http://schemas.openxmlformats.org/officeDocument/2006/relationships/hyperlink" Target="https://arxiv.org/abs/2310.13548" TargetMode="External"/><Relationship Id="rId1" Type="http://schemas.openxmlformats.org/officeDocument/2006/relationships/hyperlink" Target="https://arxiv.org/abs/2503.10965" TargetMode="External"/><Relationship Id="rId6" Type="http://schemas.openxmlformats.org/officeDocument/2006/relationships/hyperlink" Target="https://arxiv.org/abs/2402.07510" TargetMode="External"/><Relationship Id="rId11" Type="http://schemas.openxmlformats.org/officeDocument/2006/relationships/hyperlink" Target="https://arxiv.org/abs/2406.13352" TargetMode="External"/><Relationship Id="rId5" Type="http://schemas.openxmlformats.org/officeDocument/2006/relationships/hyperlink" Target="https://arxiv.org/abs/2406.07358" TargetMode="External"/><Relationship Id="rId15" Type="http://schemas.openxmlformats.org/officeDocument/2006/relationships/hyperlink" Target="https://arxiv.org/abs/2306.03341" TargetMode="External"/><Relationship Id="rId10" Type="http://schemas.openxmlformats.org/officeDocument/2006/relationships/hyperlink" Target="https://arxiv.org/abs/2410.09024" TargetMode="External"/><Relationship Id="rId4" Type="http://schemas.openxmlformats.org/officeDocument/2006/relationships/hyperlink" Target="https://arxiv.org/abs/2511.09904" TargetMode="External"/><Relationship Id="rId9" Type="http://schemas.openxmlformats.org/officeDocument/2006/relationships/hyperlink" Target="https://arxiv.org/abs/2407.16521" TargetMode="External"/><Relationship Id="rId14" Type="http://schemas.openxmlformats.org/officeDocument/2006/relationships/hyperlink" Target="https://arxiv.org/abs/2212.038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6060-D019-0E4D-B20F-A964A5638D23}">
  <dimension ref="A1:G30"/>
  <sheetViews>
    <sheetView tabSelected="1" topLeftCell="A3" workbookViewId="0">
      <selection activeCell="B9" sqref="B9"/>
    </sheetView>
  </sheetViews>
  <sheetFormatPr baseColWidth="10" defaultRowHeight="16" x14ac:dyDescent="0.2"/>
  <cols>
    <col min="1" max="1" width="7.33203125" style="1" customWidth="1"/>
    <col min="2" max="2" width="52.1640625" style="1" customWidth="1"/>
    <col min="3" max="3" width="10.83203125" style="1"/>
    <col min="4" max="4" width="23" style="1" customWidth="1"/>
    <col min="5" max="5" width="57.83203125" style="1" customWidth="1"/>
    <col min="6" max="6" width="52.5" style="1" customWidth="1"/>
    <col min="7" max="7" width="44" style="1" customWidth="1"/>
    <col min="8" max="16384" width="10.83203125" style="1"/>
  </cols>
  <sheetData>
    <row r="1" spans="1:7" s="4" customFormat="1" ht="68" x14ac:dyDescent="0.2">
      <c r="A1" s="3" t="s">
        <v>0</v>
      </c>
      <c r="B1" s="3" t="s">
        <v>1</v>
      </c>
      <c r="C1" s="3" t="s">
        <v>2</v>
      </c>
      <c r="D1" s="3" t="s">
        <v>3</v>
      </c>
      <c r="E1" s="3" t="s">
        <v>9</v>
      </c>
      <c r="F1" s="3" t="s">
        <v>4</v>
      </c>
      <c r="G1" s="3" t="s">
        <v>37</v>
      </c>
    </row>
    <row r="2" spans="1:7" ht="68" x14ac:dyDescent="0.2">
      <c r="A2" s="1">
        <f>ROW() - 1</f>
        <v>1</v>
      </c>
      <c r="B2" s="1" t="s">
        <v>5</v>
      </c>
      <c r="C2" s="1" t="s">
        <v>6</v>
      </c>
      <c r="D2" s="2" t="s">
        <v>7</v>
      </c>
      <c r="E2" s="1" t="s">
        <v>8</v>
      </c>
      <c r="F2" s="1" t="s">
        <v>10</v>
      </c>
    </row>
    <row r="3" spans="1:7" ht="34" x14ac:dyDescent="0.2">
      <c r="A3" s="1">
        <f t="shared" ref="A3:A11" si="0">ROW() - 1</f>
        <v>2</v>
      </c>
      <c r="B3" s="1" t="s">
        <v>11</v>
      </c>
      <c r="C3" s="1" t="s">
        <v>6</v>
      </c>
      <c r="D3" s="2" t="s">
        <v>12</v>
      </c>
      <c r="E3" s="1" t="s">
        <v>13</v>
      </c>
      <c r="F3" s="1" t="s">
        <v>14</v>
      </c>
    </row>
    <row r="4" spans="1:7" ht="68" x14ac:dyDescent="0.2">
      <c r="A4" s="1">
        <f t="shared" si="0"/>
        <v>3</v>
      </c>
      <c r="B4" s="1" t="s">
        <v>15</v>
      </c>
      <c r="C4" s="1" t="s">
        <v>16</v>
      </c>
      <c r="D4" s="2" t="s">
        <v>17</v>
      </c>
      <c r="E4" s="1" t="s">
        <v>18</v>
      </c>
      <c r="F4" s="1" t="s">
        <v>19</v>
      </c>
    </row>
    <row r="5" spans="1:7" ht="85" x14ac:dyDescent="0.2">
      <c r="A5" s="1">
        <f t="shared" si="0"/>
        <v>4</v>
      </c>
      <c r="B5" s="1" t="s">
        <v>20</v>
      </c>
      <c r="C5" s="1" t="s">
        <v>16</v>
      </c>
      <c r="D5" s="2" t="s">
        <v>21</v>
      </c>
      <c r="E5" s="1" t="s">
        <v>22</v>
      </c>
      <c r="F5" s="1" t="s">
        <v>23</v>
      </c>
    </row>
    <row r="6" spans="1:7" ht="68" x14ac:dyDescent="0.2">
      <c r="A6" s="1">
        <f t="shared" si="0"/>
        <v>5</v>
      </c>
      <c r="B6" s="1" t="s">
        <v>26</v>
      </c>
      <c r="C6" s="1" t="s">
        <v>6</v>
      </c>
      <c r="D6" s="2" t="s">
        <v>27</v>
      </c>
      <c r="E6" s="1" t="s">
        <v>24</v>
      </c>
      <c r="F6" s="1" t="s">
        <v>25</v>
      </c>
    </row>
    <row r="7" spans="1:7" ht="34" x14ac:dyDescent="0.2">
      <c r="A7" s="1">
        <f t="shared" si="0"/>
        <v>6</v>
      </c>
      <c r="B7" s="1" t="s">
        <v>28</v>
      </c>
      <c r="C7" s="1" t="s">
        <v>6</v>
      </c>
      <c r="D7" s="2" t="s">
        <v>29</v>
      </c>
    </row>
    <row r="8" spans="1:7" ht="68" x14ac:dyDescent="0.2">
      <c r="A8" s="1">
        <f t="shared" si="0"/>
        <v>7</v>
      </c>
      <c r="B8" s="1" t="s">
        <v>30</v>
      </c>
      <c r="C8" s="1">
        <v>2026</v>
      </c>
      <c r="D8" s="2" t="s">
        <v>31</v>
      </c>
      <c r="E8" s="1" t="s">
        <v>32</v>
      </c>
      <c r="F8" s="1" t="s">
        <v>211</v>
      </c>
    </row>
    <row r="9" spans="1:7" ht="187" x14ac:dyDescent="0.2">
      <c r="A9" s="1">
        <f>ROW() - 1</f>
        <v>8</v>
      </c>
      <c r="B9" s="1" t="s">
        <v>33</v>
      </c>
      <c r="C9" s="1">
        <v>2026</v>
      </c>
      <c r="D9" s="2" t="s">
        <v>34</v>
      </c>
      <c r="E9" s="1" t="s">
        <v>35</v>
      </c>
      <c r="F9" s="1" t="s">
        <v>36</v>
      </c>
      <c r="G9" s="1" t="s">
        <v>38</v>
      </c>
    </row>
    <row r="10" spans="1:7" ht="136" x14ac:dyDescent="0.2">
      <c r="A10" s="1">
        <f t="shared" si="0"/>
        <v>9</v>
      </c>
      <c r="B10" s="1" t="s">
        <v>39</v>
      </c>
      <c r="C10" s="1" t="s">
        <v>40</v>
      </c>
      <c r="D10" s="2" t="s">
        <v>41</v>
      </c>
      <c r="E10" s="1" t="s">
        <v>42</v>
      </c>
      <c r="F10" s="1" t="s">
        <v>43</v>
      </c>
      <c r="G10" s="1" t="s">
        <v>44</v>
      </c>
    </row>
    <row r="11" spans="1:7" ht="102" x14ac:dyDescent="0.2">
      <c r="A11" s="1">
        <f t="shared" si="0"/>
        <v>10</v>
      </c>
      <c r="B11" s="1" t="s">
        <v>48</v>
      </c>
      <c r="C11" s="1" t="s">
        <v>49</v>
      </c>
      <c r="D11" s="2" t="s">
        <v>50</v>
      </c>
      <c r="E11" s="1" t="s">
        <v>51</v>
      </c>
      <c r="G11" s="1" t="s">
        <v>52</v>
      </c>
    </row>
    <row r="12" spans="1:7" ht="34" x14ac:dyDescent="0.2">
      <c r="A12" s="1">
        <f t="shared" ref="A12:A30" si="1">ROW() - 1</f>
        <v>11</v>
      </c>
      <c r="B12" s="1" t="s">
        <v>55</v>
      </c>
      <c r="C12" s="1">
        <v>2023</v>
      </c>
      <c r="D12" s="2" t="s">
        <v>56</v>
      </c>
      <c r="E12" s="1" t="s">
        <v>58</v>
      </c>
      <c r="F12" s="1" t="s">
        <v>57</v>
      </c>
    </row>
    <row r="13" spans="1:7" ht="136" x14ac:dyDescent="0.2">
      <c r="A13" s="1">
        <f t="shared" si="1"/>
        <v>12</v>
      </c>
      <c r="B13" s="1" t="s">
        <v>61</v>
      </c>
      <c r="C13" s="1" t="s">
        <v>6</v>
      </c>
      <c r="D13" s="2" t="s">
        <v>62</v>
      </c>
      <c r="E13" s="1" t="s">
        <v>63</v>
      </c>
      <c r="F13" s="1" t="s">
        <v>64</v>
      </c>
      <c r="G13" s="1" t="s">
        <v>65</v>
      </c>
    </row>
    <row r="14" spans="1:7" ht="34" x14ac:dyDescent="0.2">
      <c r="A14" s="1">
        <f t="shared" si="1"/>
        <v>13</v>
      </c>
      <c r="B14" s="1" t="s">
        <v>66</v>
      </c>
      <c r="C14" s="1">
        <v>2026</v>
      </c>
      <c r="D14" s="2" t="s">
        <v>67</v>
      </c>
      <c r="E14" s="1" t="s">
        <v>68</v>
      </c>
      <c r="F14" s="1" t="s">
        <v>69</v>
      </c>
    </row>
    <row r="15" spans="1:7" ht="85" x14ac:dyDescent="0.2">
      <c r="A15" s="1">
        <f t="shared" si="1"/>
        <v>14</v>
      </c>
      <c r="B15" s="1" t="s">
        <v>70</v>
      </c>
      <c r="C15" s="1" t="s">
        <v>16</v>
      </c>
      <c r="D15" s="2" t="s">
        <v>71</v>
      </c>
      <c r="E15" s="1" t="s">
        <v>72</v>
      </c>
      <c r="F15" s="1" t="s">
        <v>73</v>
      </c>
    </row>
    <row r="16" spans="1:7" ht="272" x14ac:dyDescent="0.2">
      <c r="A16" s="1">
        <f t="shared" si="1"/>
        <v>15</v>
      </c>
      <c r="B16" s="1" t="s">
        <v>85</v>
      </c>
      <c r="C16" s="1" t="s">
        <v>6</v>
      </c>
      <c r="D16" s="2" t="s">
        <v>86</v>
      </c>
      <c r="E16" s="1" t="s">
        <v>87</v>
      </c>
      <c r="F16" s="1" t="s">
        <v>89</v>
      </c>
      <c r="G16" s="1" t="s">
        <v>88</v>
      </c>
    </row>
    <row r="17" spans="1:6" ht="34" x14ac:dyDescent="0.2">
      <c r="A17" s="1">
        <f t="shared" si="1"/>
        <v>16</v>
      </c>
      <c r="B17" s="1" t="s">
        <v>90</v>
      </c>
      <c r="C17" s="1" t="s">
        <v>49</v>
      </c>
      <c r="D17" s="2" t="s">
        <v>91</v>
      </c>
      <c r="F17" s="1" t="s">
        <v>92</v>
      </c>
    </row>
    <row r="18" spans="1:6" ht="17" x14ac:dyDescent="0.2">
      <c r="A18" s="1">
        <f t="shared" si="1"/>
        <v>17</v>
      </c>
      <c r="B18" s="1" t="s">
        <v>119</v>
      </c>
      <c r="C18" s="1" t="s">
        <v>16</v>
      </c>
      <c r="D18" s="2" t="s">
        <v>120</v>
      </c>
      <c r="F18" s="1" t="s">
        <v>121</v>
      </c>
    </row>
    <row r="19" spans="1:6" ht="34" x14ac:dyDescent="0.2">
      <c r="A19" s="1">
        <f t="shared" si="1"/>
        <v>18</v>
      </c>
      <c r="B19" s="1" t="s">
        <v>125</v>
      </c>
      <c r="C19" s="1" t="s">
        <v>6</v>
      </c>
      <c r="D19" s="2" t="s">
        <v>126</v>
      </c>
      <c r="F19" s="1" t="s">
        <v>127</v>
      </c>
    </row>
    <row r="20" spans="1:6" ht="34" x14ac:dyDescent="0.2">
      <c r="A20" s="1">
        <f t="shared" si="1"/>
        <v>19</v>
      </c>
      <c r="B20" s="1" t="s">
        <v>140</v>
      </c>
      <c r="C20" s="1" t="s">
        <v>6</v>
      </c>
      <c r="D20" s="2" t="s">
        <v>141</v>
      </c>
      <c r="F20" s="1" t="s">
        <v>142</v>
      </c>
    </row>
    <row r="21" spans="1:6" ht="17" x14ac:dyDescent="0.2">
      <c r="A21" s="1">
        <f t="shared" si="1"/>
        <v>20</v>
      </c>
      <c r="B21" s="1" t="s">
        <v>143</v>
      </c>
      <c r="C21" s="1" t="s">
        <v>49</v>
      </c>
      <c r="D21" s="2" t="s">
        <v>144</v>
      </c>
      <c r="F21" s="1" t="s">
        <v>121</v>
      </c>
    </row>
    <row r="22" spans="1:6" ht="17" x14ac:dyDescent="0.2">
      <c r="A22" s="1">
        <f t="shared" si="1"/>
        <v>21</v>
      </c>
      <c r="B22" s="1" t="s">
        <v>145</v>
      </c>
      <c r="C22" s="1" t="s">
        <v>146</v>
      </c>
      <c r="D22" s="2" t="s">
        <v>147</v>
      </c>
      <c r="F22" s="1" t="s">
        <v>121</v>
      </c>
    </row>
    <row r="23" spans="1:6" ht="34" x14ac:dyDescent="0.2">
      <c r="A23" s="1">
        <f t="shared" si="1"/>
        <v>22</v>
      </c>
      <c r="B23" s="1" t="s">
        <v>148</v>
      </c>
      <c r="C23" s="1" t="s">
        <v>16</v>
      </c>
      <c r="D23" s="2" t="s">
        <v>147</v>
      </c>
      <c r="F23" s="1" t="s">
        <v>121</v>
      </c>
    </row>
    <row r="24" spans="1:6" ht="17" x14ac:dyDescent="0.2">
      <c r="A24" s="1">
        <f t="shared" si="1"/>
        <v>23</v>
      </c>
      <c r="B24" s="1" t="s">
        <v>159</v>
      </c>
      <c r="C24" s="1" t="s">
        <v>113</v>
      </c>
      <c r="D24" s="2" t="s">
        <v>160</v>
      </c>
      <c r="F24" s="1" t="s">
        <v>121</v>
      </c>
    </row>
    <row r="25" spans="1:6" ht="34" x14ac:dyDescent="0.2">
      <c r="A25" s="1">
        <f t="shared" si="1"/>
        <v>24</v>
      </c>
      <c r="B25" s="1" t="s">
        <v>177</v>
      </c>
      <c r="C25" s="1" t="s">
        <v>113</v>
      </c>
      <c r="D25" s="2" t="s">
        <v>178</v>
      </c>
      <c r="F25" s="1" t="s">
        <v>179</v>
      </c>
    </row>
    <row r="26" spans="1:6" ht="34" x14ac:dyDescent="0.2">
      <c r="A26" s="1">
        <f t="shared" si="1"/>
        <v>25</v>
      </c>
      <c r="B26" s="1" t="s">
        <v>188</v>
      </c>
      <c r="C26" s="1" t="s">
        <v>113</v>
      </c>
      <c r="D26" s="2" t="s">
        <v>189</v>
      </c>
      <c r="F26" s="1" t="s">
        <v>121</v>
      </c>
    </row>
    <row r="27" spans="1:6" ht="34" x14ac:dyDescent="0.2">
      <c r="A27" s="1">
        <f t="shared" si="1"/>
        <v>26</v>
      </c>
      <c r="B27" s="1" t="s">
        <v>196</v>
      </c>
      <c r="C27" s="1">
        <v>2026</v>
      </c>
      <c r="D27" s="2" t="s">
        <v>197</v>
      </c>
      <c r="E27" s="1" t="s">
        <v>198</v>
      </c>
      <c r="F27" s="1" t="s">
        <v>199</v>
      </c>
    </row>
    <row r="28" spans="1:6" ht="102" x14ac:dyDescent="0.2">
      <c r="A28" s="1">
        <f t="shared" si="1"/>
        <v>27</v>
      </c>
      <c r="B28" s="1" t="s">
        <v>200</v>
      </c>
      <c r="C28" s="1">
        <v>2026</v>
      </c>
      <c r="D28" s="2" t="s">
        <v>201</v>
      </c>
      <c r="E28" s="1" t="s">
        <v>203</v>
      </c>
      <c r="F28" s="1" t="s">
        <v>202</v>
      </c>
    </row>
    <row r="29" spans="1:6" ht="34" x14ac:dyDescent="0.2">
      <c r="A29" s="1">
        <f t="shared" si="1"/>
        <v>28</v>
      </c>
      <c r="B29" s="1" t="s">
        <v>207</v>
      </c>
      <c r="C29" s="1">
        <v>2024</v>
      </c>
      <c r="D29" s="2" t="s">
        <v>208</v>
      </c>
      <c r="E29" s="1" t="s">
        <v>209</v>
      </c>
      <c r="F29" s="1" t="s">
        <v>210</v>
      </c>
    </row>
    <row r="30" spans="1:6" ht="51" x14ac:dyDescent="0.2">
      <c r="A30" s="1">
        <f t="shared" si="1"/>
        <v>29</v>
      </c>
      <c r="B30" s="1" t="s">
        <v>212</v>
      </c>
      <c r="C30" s="1">
        <v>2023</v>
      </c>
      <c r="D30" s="2" t="s">
        <v>213</v>
      </c>
      <c r="E30" s="1" t="s">
        <v>214</v>
      </c>
      <c r="F30" s="1" t="s">
        <v>215</v>
      </c>
    </row>
  </sheetData>
  <hyperlinks>
    <hyperlink ref="D2" r:id="rId1" xr:uid="{DEE86C4C-A4AA-C84A-9C72-B486A6D64D90}"/>
    <hyperlink ref="D3" r:id="rId2" xr:uid="{3ED1A48E-FE35-1742-9C7B-ED3DF09C23C0}"/>
    <hyperlink ref="D4" r:id="rId3" xr:uid="{196B5B71-02DC-AE46-92CE-270601070328}"/>
    <hyperlink ref="D5" r:id="rId4" xr:uid="{DEB9A43A-5591-C643-89CF-B137D3C066A8}"/>
    <hyperlink ref="D6" r:id="rId5" xr:uid="{475AE2E9-A255-2C4D-8B38-721DCAD8E47C}"/>
    <hyperlink ref="D7" r:id="rId6" xr:uid="{93AE420E-29D6-C044-82A4-4144E5601314}"/>
    <hyperlink ref="D8" r:id="rId7" xr:uid="{F7CABD8C-891E-AD48-99F7-E508CEA1E072}"/>
    <hyperlink ref="D9" r:id="rId8" xr:uid="{D1320790-ADFB-B941-918F-1B01BC2A965C}"/>
    <hyperlink ref="D10" r:id="rId9" xr:uid="{728464FE-BC18-D742-9773-A5EE8E860372}"/>
    <hyperlink ref="D11" r:id="rId10" xr:uid="{F40951C7-6DE6-EC44-9692-80C12F2F3982}"/>
    <hyperlink ref="D12" r:id="rId11" xr:uid="{28382723-0DD6-8648-B78B-9185610A44E8}"/>
    <hyperlink ref="D13" r:id="rId12" xr:uid="{E40E9116-820D-F348-95E8-87294E685ACE}"/>
    <hyperlink ref="D14" r:id="rId13" xr:uid="{B224F27F-D580-BF4F-BADD-8C63BFCA5415}"/>
    <hyperlink ref="D15" r:id="rId14" xr:uid="{73B579B8-391F-5F48-AEB7-0980B6F4C0E2}"/>
    <hyperlink ref="D16" r:id="rId15" xr:uid="{EAD80D2B-AE8D-BE49-8782-408E0E364A2B}"/>
    <hyperlink ref="D17" r:id="rId16" xr:uid="{CCF06A18-55F7-B34B-879C-854A72E9527C}"/>
    <hyperlink ref="D18" r:id="rId17" xr:uid="{047B78CD-CAAE-A846-8EDE-D01EB12BEE59}"/>
    <hyperlink ref="D19" r:id="rId18" xr:uid="{E743AA2B-15E2-1C41-BA35-CDC98E0FA2AA}"/>
    <hyperlink ref="D20" r:id="rId19" xr:uid="{E4F0574F-0C28-9748-9316-10E18EE997B9}"/>
    <hyperlink ref="D21" r:id="rId20" xr:uid="{B164BEA8-5C4C-0240-BF06-4BE030152B37}"/>
    <hyperlink ref="D22" r:id="rId21" xr:uid="{075511F9-79AD-A041-935F-03F0DB8D01B2}"/>
    <hyperlink ref="D23" r:id="rId22" xr:uid="{9CDFB2EA-2BCA-7C4B-955A-599A85F5308F}"/>
    <hyperlink ref="D24" r:id="rId23" xr:uid="{FA800871-7FBE-7A4E-B256-7A5FE4E08F40}"/>
    <hyperlink ref="D25" r:id="rId24" xr:uid="{A47E429E-BAFB-FF4B-86A1-C543CFF4B0C0}"/>
    <hyperlink ref="D26" r:id="rId25" xr:uid="{B639D071-CFAF-7E49-B4BD-D79A5720A975}"/>
    <hyperlink ref="D27" r:id="rId26" xr:uid="{517A8184-9CEF-C843-840A-DA8F8A5DE9FD}"/>
    <hyperlink ref="D28" r:id="rId27" xr:uid="{0855DB9F-7467-734B-A50A-167DF7C65FDA}"/>
    <hyperlink ref="D29" r:id="rId28" xr:uid="{6D959D1B-B523-A74E-99D1-1B43E5F8A436}"/>
    <hyperlink ref="D30" r:id="rId29" xr:uid="{41663977-4416-F647-B2DD-7D3663991A6E}"/>
  </hyperlinks>
  <pageMargins left="0.7" right="0.7" top="0.75" bottom="0.75" header="0.3" footer="0.3"/>
  <tableParts count="1">
    <tablePart r:id="rId3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CD74B-0C5E-6C47-BDF4-F5EFA7B34442}">
  <dimension ref="A1:E23"/>
  <sheetViews>
    <sheetView topLeftCell="A19" workbookViewId="0">
      <selection activeCell="D22" sqref="D22"/>
    </sheetView>
  </sheetViews>
  <sheetFormatPr baseColWidth="10" defaultRowHeight="16" x14ac:dyDescent="0.2"/>
  <cols>
    <col min="1" max="1" width="10.83203125" style="1"/>
    <col min="2" max="2" width="60.83203125" style="1" customWidth="1"/>
    <col min="3" max="3" width="10.83203125" style="1"/>
    <col min="4" max="4" width="26.1640625" style="1" customWidth="1"/>
    <col min="5" max="5" width="74.5" style="1" customWidth="1"/>
    <col min="6" max="16384" width="10.83203125" style="1"/>
  </cols>
  <sheetData>
    <row r="1" spans="1:5" s="4" customFormat="1" ht="17" x14ac:dyDescent="0.2">
      <c r="A1" s="3" t="s">
        <v>0</v>
      </c>
      <c r="B1" s="3" t="s">
        <v>1</v>
      </c>
      <c r="C1" s="3" t="s">
        <v>2</v>
      </c>
      <c r="D1" s="3" t="s">
        <v>3</v>
      </c>
      <c r="E1" s="3" t="s">
        <v>81</v>
      </c>
    </row>
    <row r="2" spans="1:5" ht="51" x14ac:dyDescent="0.2">
      <c r="A2" s="1">
        <f t="shared" ref="A2:A10" si="0">ROW() -1</f>
        <v>1</v>
      </c>
      <c r="B2" s="1" t="s">
        <v>82</v>
      </c>
      <c r="C2" s="1" t="s">
        <v>6</v>
      </c>
      <c r="D2" s="2" t="s">
        <v>83</v>
      </c>
      <c r="E2" s="1" t="s">
        <v>84</v>
      </c>
    </row>
    <row r="3" spans="1:5" ht="68" x14ac:dyDescent="0.2">
      <c r="A3" s="1">
        <f t="shared" si="0"/>
        <v>2</v>
      </c>
      <c r="B3" s="1" t="s">
        <v>109</v>
      </c>
      <c r="C3" s="1" t="s">
        <v>49</v>
      </c>
      <c r="D3" s="2" t="s">
        <v>110</v>
      </c>
      <c r="E3" s="1" t="s">
        <v>111</v>
      </c>
    </row>
    <row r="4" spans="1:5" ht="51" x14ac:dyDescent="0.2">
      <c r="A4" s="1">
        <f t="shared" si="0"/>
        <v>3</v>
      </c>
      <c r="B4" s="1" t="s">
        <v>112</v>
      </c>
      <c r="C4" s="1" t="s">
        <v>113</v>
      </c>
      <c r="D4" s="2" t="s">
        <v>114</v>
      </c>
      <c r="E4" s="1" t="s">
        <v>115</v>
      </c>
    </row>
    <row r="5" spans="1:5" ht="68" x14ac:dyDescent="0.2">
      <c r="A5" s="1">
        <f t="shared" si="0"/>
        <v>4</v>
      </c>
      <c r="B5" s="1" t="s">
        <v>122</v>
      </c>
      <c r="C5" s="1" t="s">
        <v>16</v>
      </c>
      <c r="D5" s="2" t="s">
        <v>123</v>
      </c>
      <c r="E5" s="1" t="s">
        <v>124</v>
      </c>
    </row>
    <row r="6" spans="1:5" ht="34" x14ac:dyDescent="0.2">
      <c r="A6" s="1">
        <f t="shared" si="0"/>
        <v>5</v>
      </c>
      <c r="B6" s="1" t="s">
        <v>128</v>
      </c>
      <c r="C6" s="1" t="s">
        <v>6</v>
      </c>
      <c r="D6" s="2" t="s">
        <v>129</v>
      </c>
      <c r="E6" s="1" t="s">
        <v>130</v>
      </c>
    </row>
    <row r="7" spans="1:5" ht="34" x14ac:dyDescent="0.2">
      <c r="A7" s="1">
        <f t="shared" si="0"/>
        <v>6</v>
      </c>
      <c r="B7" s="1" t="s">
        <v>131</v>
      </c>
      <c r="C7" s="1" t="s">
        <v>16</v>
      </c>
      <c r="D7" s="2" t="s">
        <v>132</v>
      </c>
      <c r="E7" s="1" t="s">
        <v>130</v>
      </c>
    </row>
    <row r="8" spans="1:5" ht="34" x14ac:dyDescent="0.2">
      <c r="A8" s="1">
        <f t="shared" si="0"/>
        <v>7</v>
      </c>
      <c r="B8" s="1" t="s">
        <v>133</v>
      </c>
      <c r="C8" s="1" t="s">
        <v>16</v>
      </c>
      <c r="D8" s="2" t="s">
        <v>134</v>
      </c>
      <c r="E8" s="1" t="s">
        <v>130</v>
      </c>
    </row>
    <row r="9" spans="1:5" ht="34" x14ac:dyDescent="0.2">
      <c r="A9" s="1">
        <f t="shared" si="0"/>
        <v>8</v>
      </c>
      <c r="B9" s="1" t="s">
        <v>135</v>
      </c>
      <c r="C9" s="1" t="s">
        <v>6</v>
      </c>
      <c r="D9" s="2" t="s">
        <v>136</v>
      </c>
      <c r="E9" s="1" t="s">
        <v>137</v>
      </c>
    </row>
    <row r="10" spans="1:5" ht="34" x14ac:dyDescent="0.2">
      <c r="A10" s="1">
        <f t="shared" si="0"/>
        <v>9</v>
      </c>
      <c r="B10" s="1" t="s">
        <v>138</v>
      </c>
      <c r="C10" s="1" t="s">
        <v>6</v>
      </c>
      <c r="D10" s="2" t="s">
        <v>139</v>
      </c>
      <c r="E10" s="1" t="s">
        <v>130</v>
      </c>
    </row>
    <row r="11" spans="1:5" ht="17" x14ac:dyDescent="0.2">
      <c r="A11" s="1">
        <f t="shared" ref="A11:A12" si="1">ROW() -1</f>
        <v>10</v>
      </c>
      <c r="B11" s="1" t="s">
        <v>149</v>
      </c>
      <c r="C11" s="1" t="s">
        <v>113</v>
      </c>
      <c r="D11" s="2" t="s">
        <v>150</v>
      </c>
      <c r="E11" s="1" t="s">
        <v>153</v>
      </c>
    </row>
    <row r="12" spans="1:5" ht="17" x14ac:dyDescent="0.2">
      <c r="A12" s="1">
        <f t="shared" si="1"/>
        <v>11</v>
      </c>
      <c r="B12" s="1" t="s">
        <v>151</v>
      </c>
      <c r="C12" s="1" t="s">
        <v>113</v>
      </c>
      <c r="D12" s="2" t="s">
        <v>152</v>
      </c>
      <c r="E12" s="1" t="s">
        <v>153</v>
      </c>
    </row>
    <row r="13" spans="1:5" ht="17" x14ac:dyDescent="0.2">
      <c r="A13" s="1">
        <f t="shared" ref="A13:A23" si="2">ROW() -1</f>
        <v>12</v>
      </c>
      <c r="B13" s="1" t="s">
        <v>154</v>
      </c>
      <c r="C13" s="1" t="s">
        <v>49</v>
      </c>
      <c r="D13" s="2" t="s">
        <v>155</v>
      </c>
      <c r="E13" s="1" t="s">
        <v>130</v>
      </c>
    </row>
    <row r="14" spans="1:5" ht="34" x14ac:dyDescent="0.2">
      <c r="A14" s="1">
        <f t="shared" si="2"/>
        <v>13</v>
      </c>
      <c r="B14" s="1" t="s">
        <v>156</v>
      </c>
      <c r="C14" s="1" t="s">
        <v>157</v>
      </c>
      <c r="D14" s="2" t="s">
        <v>158</v>
      </c>
      <c r="E14" s="1" t="s">
        <v>130</v>
      </c>
    </row>
    <row r="15" spans="1:5" ht="34" x14ac:dyDescent="0.2">
      <c r="A15" s="1">
        <f t="shared" si="2"/>
        <v>14</v>
      </c>
      <c r="B15" s="1" t="s">
        <v>161</v>
      </c>
      <c r="C15" s="1" t="s">
        <v>6</v>
      </c>
      <c r="D15" s="2" t="s">
        <v>162</v>
      </c>
      <c r="E15" s="1" t="s">
        <v>163</v>
      </c>
    </row>
    <row r="16" spans="1:5" ht="17" x14ac:dyDescent="0.2">
      <c r="A16" s="1">
        <f t="shared" si="2"/>
        <v>15</v>
      </c>
      <c r="B16" s="1" t="s">
        <v>180</v>
      </c>
      <c r="C16" s="1" t="s">
        <v>168</v>
      </c>
      <c r="D16" s="2" t="s">
        <v>181</v>
      </c>
      <c r="E16" s="1" t="s">
        <v>130</v>
      </c>
    </row>
    <row r="17" spans="1:5" ht="17" x14ac:dyDescent="0.2">
      <c r="A17" s="1">
        <f t="shared" si="2"/>
        <v>16</v>
      </c>
      <c r="B17" s="1" t="s">
        <v>185</v>
      </c>
      <c r="C17" s="1">
        <v>2025</v>
      </c>
      <c r="D17" s="2" t="s">
        <v>186</v>
      </c>
      <c r="E17" s="1" t="s">
        <v>187</v>
      </c>
    </row>
    <row r="18" spans="1:5" ht="51" x14ac:dyDescent="0.2">
      <c r="A18" s="1">
        <f t="shared" si="2"/>
        <v>17</v>
      </c>
      <c r="B18" s="1" t="s">
        <v>190</v>
      </c>
      <c r="C18" s="1">
        <v>2026</v>
      </c>
      <c r="D18" s="2" t="s">
        <v>191</v>
      </c>
      <c r="E18" s="1" t="s">
        <v>192</v>
      </c>
    </row>
    <row r="19" spans="1:5" ht="255" x14ac:dyDescent="0.2">
      <c r="A19" s="1">
        <f t="shared" si="2"/>
        <v>18</v>
      </c>
      <c r="B19" s="1" t="s">
        <v>193</v>
      </c>
      <c r="C19" s="1">
        <v>2026</v>
      </c>
      <c r="D19" s="2" t="s">
        <v>194</v>
      </c>
      <c r="E19" s="1" t="s">
        <v>195</v>
      </c>
    </row>
    <row r="20" spans="1:5" ht="17" x14ac:dyDescent="0.2">
      <c r="A20" s="1">
        <f t="shared" si="2"/>
        <v>19</v>
      </c>
      <c r="B20" s="1" t="s">
        <v>204</v>
      </c>
      <c r="C20" s="1">
        <v>2025</v>
      </c>
      <c r="D20" s="2" t="s">
        <v>205</v>
      </c>
      <c r="E20" s="1" t="s">
        <v>206</v>
      </c>
    </row>
    <row r="21" spans="1:5" ht="85" x14ac:dyDescent="0.2">
      <c r="A21" s="1">
        <f t="shared" si="2"/>
        <v>20</v>
      </c>
      <c r="B21" s="1" t="s">
        <v>216</v>
      </c>
      <c r="C21" s="1">
        <v>2026</v>
      </c>
      <c r="D21" s="2" t="s">
        <v>217</v>
      </c>
      <c r="E21" s="1" t="s">
        <v>218</v>
      </c>
    </row>
    <row r="22" spans="1:5" ht="372" x14ac:dyDescent="0.2">
      <c r="A22" s="1">
        <f t="shared" si="2"/>
        <v>21</v>
      </c>
      <c r="B22" s="1" t="s">
        <v>219</v>
      </c>
      <c r="C22" s="1">
        <v>2026</v>
      </c>
      <c r="D22" s="2" t="s">
        <v>220</v>
      </c>
      <c r="E22" s="1" t="s">
        <v>224</v>
      </c>
    </row>
    <row r="23" spans="1:5" ht="34" x14ac:dyDescent="0.2">
      <c r="A23" s="1">
        <f t="shared" si="2"/>
        <v>22</v>
      </c>
      <c r="B23" s="1" t="s">
        <v>221</v>
      </c>
      <c r="C23" s="1">
        <v>2026</v>
      </c>
      <c r="D23" s="2" t="s">
        <v>222</v>
      </c>
      <c r="E23" s="1" t="s">
        <v>223</v>
      </c>
    </row>
  </sheetData>
  <hyperlinks>
    <hyperlink ref="D2" r:id="rId1" xr:uid="{C95B0E31-337E-5D45-9F37-F89740A74CDD}"/>
    <hyperlink ref="D3" r:id="rId2" xr:uid="{DF31DB3C-43AD-7144-9E68-46E4FD658AC1}"/>
    <hyperlink ref="D4" r:id="rId3" xr:uid="{1C175840-8D34-2E4D-9C7A-D71B8CF7A5B4}"/>
    <hyperlink ref="D5" r:id="rId4" xr:uid="{6B2754B2-5AD2-E34C-BFDC-C0BF5A36BFDA}"/>
    <hyperlink ref="D6" r:id="rId5" xr:uid="{F2378383-9356-444A-B69C-379864C0A4C4}"/>
    <hyperlink ref="D7" r:id="rId6" xr:uid="{0264D50B-E25E-8F4E-A143-705D9459E037}"/>
    <hyperlink ref="D8" r:id="rId7" xr:uid="{D8F429B0-40DB-9643-8806-AA6D815BFFA7}"/>
    <hyperlink ref="D9" r:id="rId8" xr:uid="{78F5FA3B-8825-044D-9A6A-A628CC853B9A}"/>
    <hyperlink ref="D10" r:id="rId9" xr:uid="{9EDCDDCD-0F60-1246-81FF-4DFBFA238709}"/>
    <hyperlink ref="D11" r:id="rId10" xr:uid="{36A0276E-323E-7547-805E-0E4384B491F5}"/>
    <hyperlink ref="D12" r:id="rId11" xr:uid="{BCDDF376-2E58-8540-9D5A-4EF292FCB35E}"/>
    <hyperlink ref="D13" r:id="rId12" xr:uid="{9B06103E-E133-CF43-A68E-2D308A329BA4}"/>
    <hyperlink ref="D14" r:id="rId13" xr:uid="{55FC4A94-334A-0A4F-89A7-AA60DBFFC9F4}"/>
    <hyperlink ref="D15" r:id="rId14" xr:uid="{7928AB90-D10C-BA41-9429-67EFF8EF9A6E}"/>
    <hyperlink ref="D16" r:id="rId15" xr:uid="{6BB70167-C79F-4F41-B37E-C782389691AA}"/>
    <hyperlink ref="D17" r:id="rId16" xr:uid="{31AAB15C-B7C9-8940-B062-06481A227920}"/>
    <hyperlink ref="D18" r:id="rId17" xr:uid="{DF5EBA3F-0040-4740-A962-078C741849C6}"/>
    <hyperlink ref="D19" r:id="rId18" xr:uid="{EDF38433-BC8A-1C49-950E-79EAF18AB65E}"/>
    <hyperlink ref="D20" r:id="rId19" xr:uid="{02D6BDB3-DE98-1C43-9C10-5B01FF9C1B25}"/>
    <hyperlink ref="D21" r:id="rId20" xr:uid="{16701010-85B7-2545-9C65-E6CE2E633C45}"/>
    <hyperlink ref="D22" r:id="rId21" xr:uid="{53C15503-1ADB-064E-991A-8CF333115BFC}"/>
    <hyperlink ref="D23" r:id="rId22" xr:uid="{A4F373FE-902E-7949-A507-350940F122B8}"/>
  </hyperlinks>
  <pageMargins left="0.7" right="0.7" top="0.75" bottom="0.75" header="0.3" footer="0.3"/>
  <tableParts count="1">
    <tablePart r:id="rId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777D-6ADB-6C44-9F4F-820C26F84BE8}">
  <dimension ref="A1:E17"/>
  <sheetViews>
    <sheetView workbookViewId="0">
      <selection activeCell="B18" sqref="B18"/>
    </sheetView>
  </sheetViews>
  <sheetFormatPr baseColWidth="10" defaultRowHeight="16" x14ac:dyDescent="0.2"/>
  <cols>
    <col min="2" max="2" width="50" customWidth="1"/>
    <col min="4" max="4" width="27" customWidth="1"/>
    <col min="5" max="5" width="54.1640625" customWidth="1"/>
  </cols>
  <sheetData>
    <row r="1" spans="1:5" s="4" customFormat="1" ht="17" x14ac:dyDescent="0.2">
      <c r="A1" s="3" t="s">
        <v>0</v>
      </c>
      <c r="B1" s="3" t="s">
        <v>1</v>
      </c>
      <c r="C1" s="3" t="s">
        <v>2</v>
      </c>
      <c r="D1" s="3" t="s">
        <v>3</v>
      </c>
      <c r="E1" s="3" t="s">
        <v>80</v>
      </c>
    </row>
    <row r="2" spans="1:5" s="1" customFormat="1" ht="17" x14ac:dyDescent="0.2">
      <c r="A2" s="1">
        <f t="shared" ref="A2:A12" si="0">ROW() - 1</f>
        <v>1</v>
      </c>
      <c r="B2" s="1" t="s">
        <v>45</v>
      </c>
      <c r="C2" s="1" t="s">
        <v>6</v>
      </c>
      <c r="D2" s="2" t="s">
        <v>46</v>
      </c>
      <c r="E2" s="1" t="s">
        <v>47</v>
      </c>
    </row>
    <row r="3" spans="1:5" ht="17" x14ac:dyDescent="0.2">
      <c r="A3" s="1">
        <f t="shared" si="0"/>
        <v>2</v>
      </c>
      <c r="B3" s="1" t="s">
        <v>53</v>
      </c>
      <c r="C3" s="1" t="s">
        <v>49</v>
      </c>
      <c r="D3" s="2" t="s">
        <v>54</v>
      </c>
      <c r="E3" s="1"/>
    </row>
    <row r="4" spans="1:5" ht="34" x14ac:dyDescent="0.2">
      <c r="A4" s="1">
        <f t="shared" si="0"/>
        <v>3</v>
      </c>
      <c r="B4" s="1" t="s">
        <v>59</v>
      </c>
      <c r="C4" s="1" t="s">
        <v>49</v>
      </c>
      <c r="D4" s="2" t="s">
        <v>60</v>
      </c>
      <c r="E4" s="1"/>
    </row>
    <row r="5" spans="1:5" ht="34" x14ac:dyDescent="0.2">
      <c r="A5" s="1">
        <f t="shared" si="0"/>
        <v>4</v>
      </c>
      <c r="B5" s="1" t="s">
        <v>74</v>
      </c>
      <c r="C5" s="1" t="s">
        <v>6</v>
      </c>
      <c r="D5" s="2" t="s">
        <v>75</v>
      </c>
      <c r="E5" s="1" t="s">
        <v>76</v>
      </c>
    </row>
    <row r="6" spans="1:5" ht="34" x14ac:dyDescent="0.2">
      <c r="A6" s="1">
        <f t="shared" si="0"/>
        <v>5</v>
      </c>
      <c r="B6" s="1" t="s">
        <v>77</v>
      </c>
      <c r="C6" s="1" t="s">
        <v>6</v>
      </c>
      <c r="D6" s="2" t="s">
        <v>78</v>
      </c>
      <c r="E6" s="1" t="s">
        <v>79</v>
      </c>
    </row>
    <row r="7" spans="1:5" ht="17" x14ac:dyDescent="0.2">
      <c r="A7" s="1">
        <f t="shared" si="0"/>
        <v>6</v>
      </c>
      <c r="B7" s="1" t="s">
        <v>93</v>
      </c>
      <c r="C7" s="1" t="s">
        <v>49</v>
      </c>
      <c r="D7" s="2" t="s">
        <v>94</v>
      </c>
      <c r="E7" s="1" t="s">
        <v>95</v>
      </c>
    </row>
    <row r="8" spans="1:5" ht="34" x14ac:dyDescent="0.2">
      <c r="A8" s="1">
        <f t="shared" si="0"/>
        <v>7</v>
      </c>
      <c r="B8" s="1" t="s">
        <v>96</v>
      </c>
      <c r="C8" s="1" t="s">
        <v>6</v>
      </c>
      <c r="D8" s="2" t="s">
        <v>97</v>
      </c>
      <c r="E8" s="1" t="s">
        <v>98</v>
      </c>
    </row>
    <row r="9" spans="1:5" ht="34" x14ac:dyDescent="0.2">
      <c r="A9" s="1">
        <f t="shared" si="0"/>
        <v>8</v>
      </c>
      <c r="B9" s="1" t="s">
        <v>99</v>
      </c>
      <c r="C9" s="1" t="s">
        <v>16</v>
      </c>
      <c r="D9" s="2" t="s">
        <v>100</v>
      </c>
      <c r="E9" s="1" t="s">
        <v>101</v>
      </c>
    </row>
    <row r="10" spans="1:5" ht="34" x14ac:dyDescent="0.2">
      <c r="A10" s="1">
        <f t="shared" si="0"/>
        <v>9</v>
      </c>
      <c r="B10" s="1" t="s">
        <v>102</v>
      </c>
      <c r="C10" s="1" t="s">
        <v>49</v>
      </c>
      <c r="D10" s="2" t="s">
        <v>103</v>
      </c>
      <c r="E10" s="1" t="s">
        <v>104</v>
      </c>
    </row>
    <row r="11" spans="1:5" ht="34" x14ac:dyDescent="0.2">
      <c r="A11" s="1">
        <f t="shared" si="0"/>
        <v>10</v>
      </c>
      <c r="B11" s="1" t="s">
        <v>105</v>
      </c>
      <c r="C11" s="1" t="s">
        <v>106</v>
      </c>
      <c r="D11" s="2" t="s">
        <v>107</v>
      </c>
      <c r="E11" s="1" t="s">
        <v>108</v>
      </c>
    </row>
    <row r="12" spans="1:5" ht="34" x14ac:dyDescent="0.2">
      <c r="A12" s="1">
        <f t="shared" si="0"/>
        <v>11</v>
      </c>
      <c r="B12" s="1" t="s">
        <v>116</v>
      </c>
      <c r="C12" s="1" t="s">
        <v>49</v>
      </c>
      <c r="D12" s="2" t="s">
        <v>117</v>
      </c>
      <c r="E12" s="1" t="s">
        <v>118</v>
      </c>
    </row>
    <row r="13" spans="1:5" ht="34" x14ac:dyDescent="0.2">
      <c r="A13" s="1">
        <f t="shared" ref="A13:A14" si="1">ROW() - 1</f>
        <v>12</v>
      </c>
      <c r="B13" s="1" t="s">
        <v>164</v>
      </c>
      <c r="C13" s="1" t="s">
        <v>165</v>
      </c>
      <c r="D13" s="2" t="s">
        <v>166</v>
      </c>
      <c r="E13" s="1" t="s">
        <v>170</v>
      </c>
    </row>
    <row r="14" spans="1:5" ht="17" x14ac:dyDescent="0.2">
      <c r="A14" s="1">
        <f t="shared" si="1"/>
        <v>13</v>
      </c>
      <c r="B14" s="1" t="s">
        <v>167</v>
      </c>
      <c r="C14" s="1" t="s">
        <v>168</v>
      </c>
      <c r="D14" s="2" t="s">
        <v>169</v>
      </c>
      <c r="E14" s="1" t="s">
        <v>171</v>
      </c>
    </row>
    <row r="15" spans="1:5" ht="34" x14ac:dyDescent="0.2">
      <c r="A15" s="1">
        <f>ROW() - 1</f>
        <v>14</v>
      </c>
      <c r="B15" s="1" t="s">
        <v>172</v>
      </c>
      <c r="C15" s="1" t="s">
        <v>157</v>
      </c>
      <c r="D15" s="2" t="s">
        <v>173</v>
      </c>
      <c r="E15" s="1" t="s">
        <v>174</v>
      </c>
    </row>
    <row r="16" spans="1:5" ht="34" x14ac:dyDescent="0.2">
      <c r="A16" s="1">
        <f>ROW() - 1</f>
        <v>15</v>
      </c>
      <c r="B16" s="1" t="s">
        <v>175</v>
      </c>
      <c r="C16" s="1" t="s">
        <v>113</v>
      </c>
      <c r="D16" s="2" t="s">
        <v>176</v>
      </c>
      <c r="E16" s="1" t="s">
        <v>174</v>
      </c>
    </row>
    <row r="17" spans="1:5" ht="17" x14ac:dyDescent="0.2">
      <c r="A17" s="1">
        <f>ROW() - 1</f>
        <v>16</v>
      </c>
      <c r="B17" s="1" t="s">
        <v>182</v>
      </c>
      <c r="C17" s="1" t="s">
        <v>113</v>
      </c>
      <c r="D17" s="2" t="s">
        <v>183</v>
      </c>
      <c r="E17" s="1" t="s">
        <v>184</v>
      </c>
    </row>
  </sheetData>
  <hyperlinks>
    <hyperlink ref="D2" r:id="rId1" xr:uid="{0C6F1A95-920D-B443-9AAE-8DBF89A2BC4E}"/>
    <hyperlink ref="D3" r:id="rId2" xr:uid="{ECD1F68C-EE23-6B4D-BB56-72D5DD94BACB}"/>
    <hyperlink ref="D4" r:id="rId3" xr:uid="{D400DA6B-321E-744F-BE2F-2375B79A490D}"/>
    <hyperlink ref="D5" r:id="rId4" xr:uid="{942642E4-21EB-7C49-9092-A6B2F24E088C}"/>
    <hyperlink ref="D6" r:id="rId5" xr:uid="{8A8C9E68-9275-8E40-8E34-1A2BE9A5D0C9}"/>
    <hyperlink ref="D7" r:id="rId6" xr:uid="{3C417F45-AD62-B24E-ADDB-2452094E5774}"/>
    <hyperlink ref="D8" r:id="rId7" xr:uid="{055A7FF5-1139-4443-A033-FB00D12A490A}"/>
    <hyperlink ref="D9" r:id="rId8" xr:uid="{ECCEC4A7-C0FB-204B-B77E-5D8665FD2B7C}"/>
    <hyperlink ref="D10" r:id="rId9" xr:uid="{C57AAAAA-793D-D545-A34A-F78662E45A15}"/>
    <hyperlink ref="D11" r:id="rId10" xr:uid="{72B5C26E-849F-B34F-8684-398E0D547B80}"/>
    <hyperlink ref="D12" r:id="rId11" xr:uid="{4AE8CA51-F9AD-BF44-B2E4-2A784ED3C5BC}"/>
    <hyperlink ref="D13" r:id="rId12" xr:uid="{A3CE98B2-674D-6C43-A93F-5393896F89BB}"/>
    <hyperlink ref="D14" r:id="rId13" xr:uid="{B505AC96-D22F-754A-93A8-1F4DD5D185E3}"/>
    <hyperlink ref="D15" r:id="rId14" xr:uid="{1870D29F-0933-3F49-9323-7C1B2B7EBE09}"/>
    <hyperlink ref="D16" r:id="rId15" xr:uid="{D1578EA7-4BEC-6745-885F-5D73DAA501C0}"/>
    <hyperlink ref="D17" r:id="rId16" xr:uid="{AC5AF65A-2478-3D4F-9315-151689BA4C27}"/>
  </hyperlinks>
  <pageMargins left="0.7" right="0.7" top="0.75" bottom="0.75" header="0.3" footer="0.3"/>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Relevant</vt:lpstr>
      <vt:lpstr>Benchmarks &amp; Models</vt:lpstr>
      <vt:lpstr>Low Relevance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Zafar</dc:creator>
  <cp:lastModifiedBy>Iman Zafar</cp:lastModifiedBy>
  <dcterms:created xsi:type="dcterms:W3CDTF">2026-06-13T12:44:23Z</dcterms:created>
  <dcterms:modified xsi:type="dcterms:W3CDTF">2026-06-14T16:15:45Z</dcterms:modified>
</cp:coreProperties>
</file>